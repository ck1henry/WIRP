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aw - TradingView" sheetId="1" state="visible" r:id="rId1"/>
    <sheet xmlns:r="http://schemas.openxmlformats.org/officeDocument/2006/relationships" name="2. Raw - FRED EFFR" sheetId="2" state="visible" r:id="rId2"/>
    <sheet xmlns:r="http://schemas.openxmlformats.org/officeDocument/2006/relationships" name="3. Contract Mapping" sheetId="3" state="visible" r:id="rId3"/>
    <sheet xmlns:r="http://schemas.openxmlformats.org/officeDocument/2006/relationships" name="4. Calculation" sheetId="4" state="visible" r:id="rId4"/>
    <sheet xmlns:r="http://schemas.openxmlformats.org/officeDocument/2006/relationships" name="5.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20">
    <font>
      <name val="Calibri"/>
      <family val="2"/>
      <color theme="1"/>
      <sz val="11"/>
      <scheme val="minor"/>
    </font>
    <font>
      <name val="Calibri"/>
      <b val="1"/>
      <color rgb="FFD97706"/>
      <sz val="13"/>
    </font>
    <font>
      <name val="Calibri"/>
      <b val="1"/>
      <color rgb="FF64748B"/>
      <sz val="9"/>
    </font>
    <font>
      <name val="Calibri"/>
      <sz val="9"/>
    </font>
    <font>
      <name val="Calibri"/>
      <b val="1"/>
      <color rgb="FF1D4ED8"/>
      <sz val="10"/>
    </font>
    <font>
      <name val="Calibri"/>
      <b val="1"/>
      <color rgb="FFFFFFFF"/>
      <sz val="9"/>
    </font>
    <font>
      <name val="Calibri"/>
      <color rgb="FF1E293B"/>
      <sz val="9"/>
    </font>
    <font>
      <name val="Calibri"/>
      <b val="1"/>
      <color rgb="FF1E293B"/>
      <sz val="9"/>
    </font>
    <font>
      <name val="Calibri"/>
      <b val="1"/>
      <color rgb="FF15803D"/>
      <sz val="9"/>
    </font>
    <font>
      <name val="Calibri"/>
      <color rgb="FF15803D"/>
      <sz val="9"/>
    </font>
    <font>
      <name val="Courier New"/>
      <color rgb="FF334155"/>
      <sz val="8"/>
    </font>
    <font>
      <name val="Calibri"/>
      <b val="1"/>
      <color rgb="FFd97706"/>
      <sz val="9"/>
    </font>
    <font>
      <name val="Calibri"/>
      <color rgb="FF64748B"/>
      <sz val="9"/>
    </font>
    <font>
      <name val="Calibri"/>
      <color rgb="FF334155"/>
      <sz val="9"/>
    </font>
    <font>
      <name val="Calibri"/>
      <b val="1"/>
      <color rgb="FF1D4ED8"/>
      <sz val="9"/>
    </font>
    <font>
      <name val="Calibri"/>
      <b val="1"/>
      <color rgb="FFD97706"/>
      <sz val="12"/>
    </font>
    <font>
      <name val="Calibri"/>
      <color rgb="FF1D4ED8"/>
      <sz val="9"/>
    </font>
    <font>
      <name val="Calibri"/>
      <b val="1"/>
      <color rgb="FFD97706"/>
      <sz val="9"/>
    </font>
    <font>
      <name val="Calibri"/>
      <color rgb="FFDC2626"/>
      <sz val="9"/>
    </font>
    <font>
      <name val="Calibri"/>
      <b val="1"/>
      <color rgb="FFDC2626"/>
      <sz val="9"/>
    </font>
  </fonts>
  <fills count="11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334155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  <xf numFmtId="0" fontId="13" fillId="0" borderId="0" applyAlignment="1" pivotButton="0" quotePrefix="0" xfId="0">
      <alignment vertical="top" wrapText="1"/>
    </xf>
    <xf numFmtId="0" fontId="14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165" fontId="18" fillId="9" borderId="1" applyAlignment="1" pivotButton="0" quotePrefix="0" xfId="0">
      <alignment horizontal="right" vertical="center"/>
    </xf>
    <xf numFmtId="164" fontId="19" fillId="9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5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40" customWidth="1" min="4" max="4"/>
    <col width="24" customWidth="1" min="5" max="5"/>
    <col width="16" customWidth="1" min="6" max="6"/>
  </cols>
  <sheetData>
    <row r="1" ht="22" customHeight="1">
      <c r="A1" s="1" t="inlineStr">
        <is>
          <t>Raw TradingView Scanner API Response</t>
        </is>
      </c>
    </row>
    <row r="2">
      <c r="A2" s="2" t="inlineStr">
        <is>
          <t>Endpoint:</t>
        </is>
      </c>
      <c r="B2" s="3" t="inlineStr">
        <is>
          <t>https://scanner.tradingview.com/futures/scan</t>
        </is>
      </c>
    </row>
    <row r="3">
      <c r="A3" s="2" t="inlineStr">
        <is>
          <t>Method:</t>
        </is>
      </c>
      <c r="B3" s="3" t="inlineStr">
        <is>
          <t>POST</t>
        </is>
      </c>
    </row>
    <row r="4">
      <c r="A4" s="2" t="inlineStr">
        <is>
          <t>Timestamp:</t>
        </is>
      </c>
      <c r="B4" s="3" t="inlineStr">
        <is>
          <t>2026-04-05 09:30:45 UTC</t>
        </is>
      </c>
    </row>
    <row r="5">
      <c r="A5" s="2" t="inlineStr">
        <is>
          <t>Payload:</t>
        </is>
      </c>
      <c r="B5" s="3" t="inlineStr">
        <is>
          <t>{"symbols":{"tickers":[...]},"columns":["close","description"]}</t>
        </is>
      </c>
    </row>
    <row r="7">
      <c r="A7" s="4" t="inlineStr">
        <is>
          <t>REQUEST PAYLOAD (sent to API)</t>
        </is>
      </c>
    </row>
    <row r="8" ht="216" customHeight="1">
      <c r="A8" s="5" t="inlineStr">
        <is>
          <t>{
  "symbols": {
    "tickers": [
      "CBOT:ZQK2026",
      "CBOT:ZQN2026",
      "CBOT:ZQQ2026",
      "CBOT:ZQV2026",
      "CBOT:ZQX2026",
      "CBOT:ZQF2027",
      "CBOT:ZQG2027",
      "CBOT:ZQJ2027"
    ]
  },
  "columns": [
    "close",
    "description"
  ]
}</t>
        </is>
      </c>
    </row>
    <row r="10">
      <c r="A10" s="4" t="inlineStr">
        <is>
          <t>RESPONSE — data array</t>
        </is>
      </c>
    </row>
    <row r="11" ht="30" customHeight="1">
      <c r="A11" s="6" t="inlineStr">
        <is>
          <t>#</t>
        </is>
      </c>
      <c r="B11" s="6" t="inlineStr">
        <is>
          <t>Symbol (s)</t>
        </is>
      </c>
      <c r="C11" s="6" t="inlineStr">
        <is>
          <t>Close Price (d[0])</t>
        </is>
      </c>
      <c r="D11" s="6" t="inlineStr">
        <is>
          <t>Description (d[1])</t>
        </is>
      </c>
      <c r="E11" s="6" t="inlineStr">
        <is>
          <t>Source</t>
        </is>
      </c>
      <c r="F11" s="6" t="inlineStr">
        <is>
          <t>Status</t>
        </is>
      </c>
    </row>
    <row r="12">
      <c r="A12" s="7" t="n">
        <v>1</v>
      </c>
      <c r="B12" s="8" t="inlineStr">
        <is>
          <t>CBOT:ZQK2026</t>
        </is>
      </c>
      <c r="C12" s="9" t="n">
        <v>96.355</v>
      </c>
      <c r="D12" s="10" t="inlineStr">
        <is>
          <t>30 Day Federal Funds Futures (May 2026)</t>
        </is>
      </c>
      <c r="E12" s="10" t="inlineStr">
        <is>
          <t>TradingView Scanner</t>
        </is>
      </c>
      <c r="F12" s="11" t="inlineStr">
        <is>
          <t>✓ Received</t>
        </is>
      </c>
    </row>
    <row r="13">
      <c r="A13" s="12" t="n">
        <v>2</v>
      </c>
      <c r="B13" s="13" t="inlineStr">
        <is>
          <t>CBOT:ZQN2026</t>
        </is>
      </c>
      <c r="C13" s="14" t="n">
        <v>96.36499999999999</v>
      </c>
      <c r="D13" s="15" t="inlineStr">
        <is>
          <t>30 Day Federal Funds Futures (Jul 2026)</t>
        </is>
      </c>
      <c r="E13" s="15" t="inlineStr">
        <is>
          <t>TradingView Scanner</t>
        </is>
      </c>
      <c r="F13" s="16" t="inlineStr">
        <is>
          <t>✓ Received</t>
        </is>
      </c>
    </row>
    <row r="14">
      <c r="A14" s="7" t="n">
        <v>3</v>
      </c>
      <c r="B14" s="8" t="inlineStr">
        <is>
          <t>CBOT:ZQQ2026</t>
        </is>
      </c>
      <c r="C14" s="9" t="n">
        <v>96.36499999999999</v>
      </c>
      <c r="D14" s="10" t="inlineStr">
        <is>
          <t>30 Day Federal Funds Futures (Aug 2026)</t>
        </is>
      </c>
      <c r="E14" s="10" t="inlineStr">
        <is>
          <t>TradingView Scanner</t>
        </is>
      </c>
      <c r="F14" s="11" t="inlineStr">
        <is>
          <t>✓ Received</t>
        </is>
      </c>
    </row>
    <row r="15">
      <c r="A15" s="12" t="n">
        <v>4</v>
      </c>
      <c r="B15" s="13" t="inlineStr">
        <is>
          <t>CBOT:ZQV2026</t>
        </is>
      </c>
      <c r="C15" s="14" t="n">
        <v>96.355</v>
      </c>
      <c r="D15" s="15" t="inlineStr">
        <is>
          <t>30 Day Federal Funds Futures (Oct 2026)</t>
        </is>
      </c>
      <c r="E15" s="15" t="inlineStr">
        <is>
          <t>TradingView Scanner</t>
        </is>
      </c>
      <c r="F15" s="16" t="inlineStr">
        <is>
          <t>✓ Received</t>
        </is>
      </c>
    </row>
    <row r="16">
      <c r="A16" s="7" t="n">
        <v>5</v>
      </c>
      <c r="B16" s="8" t="inlineStr">
        <is>
          <t>CBOT:ZQX2026</t>
        </is>
      </c>
      <c r="C16" s="9" t="n">
        <v>96.345</v>
      </c>
      <c r="D16" s="10" t="inlineStr">
        <is>
          <t>30 Day Federal Funds Futures (Nov 2026)</t>
        </is>
      </c>
      <c r="E16" s="10" t="inlineStr">
        <is>
          <t>TradingView Scanner</t>
        </is>
      </c>
      <c r="F16" s="11" t="inlineStr">
        <is>
          <t>✓ Received</t>
        </is>
      </c>
    </row>
    <row r="17">
      <c r="A17" s="12" t="n">
        <v>6</v>
      </c>
      <c r="B17" s="13" t="inlineStr">
        <is>
          <t>CBOT:ZQF2027</t>
        </is>
      </c>
      <c r="C17" s="14" t="n">
        <v>96.37</v>
      </c>
      <c r="D17" s="15" t="inlineStr">
        <is>
          <t>30 Day Federal Funds Futures (Jan 2027)</t>
        </is>
      </c>
      <c r="E17" s="15" t="inlineStr">
        <is>
          <t>TradingView Scanner</t>
        </is>
      </c>
      <c r="F17" s="16" t="inlineStr">
        <is>
          <t>✓ Received</t>
        </is>
      </c>
    </row>
    <row r="18">
      <c r="A18" s="7" t="n">
        <v>7</v>
      </c>
      <c r="B18" s="8" t="inlineStr">
        <is>
          <t>CBOT:ZQG2027</t>
        </is>
      </c>
      <c r="C18" s="9" t="n">
        <v>96.375</v>
      </c>
      <c r="D18" s="10" t="inlineStr">
        <is>
          <t>30 Day Federal Funds Futures (Feb 2027)</t>
        </is>
      </c>
      <c r="E18" s="10" t="inlineStr">
        <is>
          <t>TradingView Scanner</t>
        </is>
      </c>
      <c r="F18" s="11" t="inlineStr">
        <is>
          <t>✓ Received</t>
        </is>
      </c>
    </row>
    <row r="19">
      <c r="A19" s="12" t="n">
        <v>8</v>
      </c>
      <c r="B19" s="13" t="inlineStr">
        <is>
          <t>CBOT:ZQJ2027</t>
        </is>
      </c>
      <c r="C19" s="14" t="n">
        <v>96.38</v>
      </c>
      <c r="D19" s="15" t="inlineStr">
        <is>
          <t>30 Day Federal Funds Futures (Apr 2027)</t>
        </is>
      </c>
      <c r="E19" s="15" t="inlineStr">
        <is>
          <t>TradingView Scanner</t>
        </is>
      </c>
      <c r="F19" s="16" t="inlineStr">
        <is>
          <t>✓ Received</t>
        </is>
      </c>
    </row>
    <row r="21">
      <c r="A21" s="4" t="inlineStr">
        <is>
          <t>FULL RAW JSON RESPONSE</t>
        </is>
      </c>
    </row>
    <row r="22" ht="400" customHeight="1">
      <c r="A22" s="17" t="inlineStr">
        <is>
          <t>{
  "totalCount": 8,
  "data": [
    {
      "s": "CBOT:ZQK2026",
      "d": [
        96.355,
        "30 Day Federal Funds Futures (May 2026)"
      ]
    },
    {
      "s": "CBOT:ZQN2026",
      "d": [
        96.365,
        "30 Day Federal Funds Futures (Jul 2026)"
      ]
    },
    {
      "s": "CBOT:ZQQ2026",
      "d": [
        96.365,
        "30 Day Federal Funds Futures (Aug 2026)"
      ]
    },
    {
      "s": "CBOT:ZQV2026",
      "d": [
        96.355,
        "30 Day Federal Funds Futures (Oct 2026)"
      ]
    },
    {
      "s": "CBOT:ZQX2026",
      "d": [
        96.345,
        "30 Day Federal Funds Futures (Nov 2026)"
      ]
    },
    {
      "s": "CBOT:ZQF2027",
      "d": [
        96.37,
        "30 Day Federal Funds Futures (Jan 2027)"
      ]
    },
    {
      "s": "CBOT:ZQG2027",
      "d": [
        96.375,
        "30 Day Federal Funds Futures (Feb 2027)"
      ]
    },
    {
      "s": "CBOT:ZQJ2027",
      "d": [
        96.38,
        "30 Day Federal Funds Futures (Apr 2027)"
      ]
    }
  ]
}</t>
        </is>
      </c>
    </row>
  </sheetData>
  <mergeCells count="3">
    <mergeCell ref="A8:H8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2" customWidth="1" min="4" max="4"/>
    <col width="40" customWidth="1" min="5" max="5"/>
  </cols>
  <sheetData>
    <row r="1" ht="22" customHeight="1">
      <c r="A1" s="1" t="inlineStr">
        <is>
          <t>Raw FRED API Response — DFF (Effective Federal Funds Rate)</t>
        </is>
      </c>
    </row>
    <row r="2">
      <c r="A2" s="2" t="inlineStr">
        <is>
          <t>Endpoint:</t>
        </is>
      </c>
      <c r="B2" s="3" t="inlineStr">
        <is>
          <t>https://api.stlouisfed.org/fred/series/observations</t>
        </is>
      </c>
    </row>
    <row r="3">
      <c r="A3" s="2" t="inlineStr">
        <is>
          <t>Series:</t>
        </is>
      </c>
      <c r="B3" s="3" t="inlineStr">
        <is>
          <t>DFF — Effective Federal Funds Rate (daily)</t>
        </is>
      </c>
    </row>
    <row r="4">
      <c r="A4" s="2" t="inlineStr">
        <is>
          <t>Timestamp:</t>
        </is>
      </c>
      <c r="B4" s="3" t="inlineStr">
        <is>
          <t>2026-04-05 09:30:45 UTC</t>
        </is>
      </c>
    </row>
    <row r="5">
      <c r="A5" s="2" t="inlineStr">
        <is>
          <t>Note:</t>
        </is>
      </c>
      <c r="B5" s="3" t="inlineStr">
        <is>
          <t>WIRP uses the most recent non-'.' observation as the base rate (EFFR)</t>
        </is>
      </c>
    </row>
    <row r="7">
      <c r="A7" s="4" t="inlineStr">
        <is>
          <t>OBSERVATIONS (last 10, newest first)</t>
        </is>
      </c>
    </row>
    <row r="8" ht="30" customHeight="1">
      <c r="A8" s="6" t="inlineStr">
        <is>
          <t>#</t>
        </is>
      </c>
      <c r="B8" s="6" t="inlineStr">
        <is>
          <t>Date</t>
        </is>
      </c>
      <c r="C8" s="6" t="inlineStr">
        <is>
          <t>Value (%)</t>
        </is>
      </c>
      <c r="D8" s="6" t="inlineStr">
        <is>
          <t>Used as Base Rate?</t>
        </is>
      </c>
      <c r="E8" s="6" t="inlineStr">
        <is>
          <t>Notes</t>
        </is>
      </c>
    </row>
    <row r="9">
      <c r="A9" s="18" t="n">
        <v>1</v>
      </c>
      <c r="B9" s="19" t="inlineStr">
        <is>
          <t>2026-04-02</t>
        </is>
      </c>
      <c r="C9" s="20" t="n">
        <v>3.64</v>
      </c>
      <c r="D9" s="21" t="inlineStr">
        <is>
          <t>✓ YES — used as EFFR base rate</t>
        </is>
      </c>
      <c r="E9" s="19" t="inlineStr">
        <is>
          <t>Most recent non-missing value</t>
        </is>
      </c>
    </row>
    <row r="10">
      <c r="A10" s="12" t="n">
        <v>2</v>
      </c>
      <c r="B10" s="15" t="inlineStr">
        <is>
          <t>2026-04-01</t>
        </is>
      </c>
      <c r="C10" s="22" t="n">
        <v>3.64</v>
      </c>
      <c r="D10" s="23" t="inlineStr">
        <is>
          <t>No</t>
        </is>
      </c>
      <c r="E10" s="15" t="inlineStr"/>
    </row>
    <row r="11">
      <c r="A11" s="7" t="n">
        <v>3</v>
      </c>
      <c r="B11" s="10" t="inlineStr">
        <is>
          <t>2026-03-31</t>
        </is>
      </c>
      <c r="C11" s="24" t="n">
        <v>3.64</v>
      </c>
      <c r="D11" s="25" t="inlineStr">
        <is>
          <t>No</t>
        </is>
      </c>
      <c r="E11" s="10" t="inlineStr"/>
    </row>
    <row r="12">
      <c r="A12" s="12" t="n">
        <v>4</v>
      </c>
      <c r="B12" s="15" t="inlineStr">
        <is>
          <t>2026-03-30</t>
        </is>
      </c>
      <c r="C12" s="22" t="n">
        <v>3.64</v>
      </c>
      <c r="D12" s="23" t="inlineStr">
        <is>
          <t>No</t>
        </is>
      </c>
      <c r="E12" s="15" t="inlineStr"/>
    </row>
    <row r="13">
      <c r="A13" s="7" t="n">
        <v>5</v>
      </c>
      <c r="B13" s="10" t="inlineStr">
        <is>
          <t>2026-03-29</t>
        </is>
      </c>
      <c r="C13" s="24" t="n">
        <v>3.64</v>
      </c>
      <c r="D13" s="25" t="inlineStr">
        <is>
          <t>No</t>
        </is>
      </c>
      <c r="E13" s="10" t="inlineStr"/>
    </row>
    <row r="14">
      <c r="A14" s="12" t="n">
        <v>6</v>
      </c>
      <c r="B14" s="15" t="inlineStr">
        <is>
          <t>2026-03-28</t>
        </is>
      </c>
      <c r="C14" s="22" t="n">
        <v>3.64</v>
      </c>
      <c r="D14" s="23" t="inlineStr">
        <is>
          <t>No</t>
        </is>
      </c>
      <c r="E14" s="15" t="inlineStr"/>
    </row>
    <row r="15">
      <c r="A15" s="7" t="n">
        <v>7</v>
      </c>
      <c r="B15" s="10" t="inlineStr">
        <is>
          <t>2026-03-27</t>
        </is>
      </c>
      <c r="C15" s="24" t="n">
        <v>3.64</v>
      </c>
      <c r="D15" s="25" t="inlineStr">
        <is>
          <t>No</t>
        </is>
      </c>
      <c r="E15" s="10" t="inlineStr"/>
    </row>
    <row r="16">
      <c r="A16" s="12" t="n">
        <v>8</v>
      </c>
      <c r="B16" s="15" t="inlineStr">
        <is>
          <t>2026-03-26</t>
        </is>
      </c>
      <c r="C16" s="22" t="n">
        <v>3.64</v>
      </c>
      <c r="D16" s="23" t="inlineStr">
        <is>
          <t>No</t>
        </is>
      </c>
      <c r="E16" s="15" t="inlineStr"/>
    </row>
    <row r="17">
      <c r="A17" s="7" t="n">
        <v>9</v>
      </c>
      <c r="B17" s="10" t="inlineStr">
        <is>
          <t>2026-03-25</t>
        </is>
      </c>
      <c r="C17" s="24" t="n">
        <v>3.64</v>
      </c>
      <c r="D17" s="25" t="inlineStr">
        <is>
          <t>No</t>
        </is>
      </c>
      <c r="E17" s="10" t="inlineStr"/>
    </row>
    <row r="18">
      <c r="A18" s="12" t="n">
        <v>10</v>
      </c>
      <c r="B18" s="15" t="inlineStr">
        <is>
          <t>2026-03-24</t>
        </is>
      </c>
      <c r="C18" s="22" t="n">
        <v>3.64</v>
      </c>
      <c r="D18" s="23" t="inlineStr">
        <is>
          <t>No</t>
        </is>
      </c>
      <c r="E18" s="15" t="inlineStr"/>
    </row>
    <row r="19">
      <c r="A19" s="4" t="inlineStr">
        <is>
          <t>FULL RAW JSON RESPONSE</t>
        </is>
      </c>
    </row>
    <row r="20" ht="300" customHeight="1">
      <c r="A20" s="17" t="inlineStr">
        <is>
          <t>{
  "realtime_start": "2026-04-03",
  "realtime_end": "2026-04-03",
  "observation_start": "1600-01-01",
  "observation_end": "9999-12-31",
  "units": "lin",
  "output_type": 1,
  "file_type": "json",
  "order_by": "observation_date",
  "sort_order": "desc",
  "count": 26209,
  "offset": 0,
  "limit": 10,
  "observations": [
    {
      "realtime_start": "2026-04-03",
      "realtime_end": "2026-04-03",
      "date": "2026-04-02",
      "value": "3.64"
    },
    {
      "realtime_start": "2026-04-03",
      "realtime_end": "2026-04-03",
      "date": "2026-04-01",
      "value": "3.64"
    },
    {
      "realtime_start": "2026-04-03",
      "realtime_end": "2026-04-03",
      "date": "2026-03-31",
      "value": "3.64"
    },
    {
      "realtime_start": "2026-04-03",
      "realtime_end": "2026-04-03",
      "date": "2026-03-30",
      "value": "3.64"
    },
    {
      "realtime_start": "2026-04-03",
      "realtime_end": "2026-04-03",
      "date": "2026-03-29",
      "value": "3.64"
    },
    {
      "realtime_start": "2026-04-03",
      "realtime_end": "2026-04-03",
      "date": "2026-03-28",
      "value": "3.64"
    },
    {
      "realtime_start": "2026-04-03",
      "realtime_end": "2026-04-03",
      "date": "2026-03-27",
      "value": "3.64"
    },
    {
      "realtime_start": "2026-04-03",
      "realtime_end": "2026-04-03",
      "date": "2026-03-26",
      "value": "3.64"
    },
    {
      "realtime_start": "2026-04-03",
      "realtime_end": "2026-04-03",
      "date": "2026-03-25",
      "value": "3.64"
    },
    {
      "realtime_start": "2026-04-03",
      "realtime_end": "2026-04-03",
      "date": "2026-03-24",
      "value": "3.64"
    }
  ]
}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4" customWidth="1" min="4" max="4"/>
    <col width="14" customWidth="1" min="5" max="5"/>
    <col width="20" customWidth="1" min="6" max="6"/>
    <col width="20" customWidth="1" min="7" max="7"/>
    <col width="16" customWidth="1" min="8" max="8"/>
  </cols>
  <sheetData>
    <row r="1" ht="22" customHeight="1">
      <c r="A1" s="1" t="inlineStr">
        <is>
          <t>FOMC Meeting → ZQ Contract Mapping</t>
        </is>
      </c>
    </row>
    <row r="3">
      <c r="A3" s="4" t="inlineStr">
        <is>
          <t>METHODOLOGY</t>
        </is>
      </c>
    </row>
    <row r="4" ht="160" customHeight="1">
      <c r="A4" s="26" t="inlineStr">
        <is>
          <t>For an FOMC meeting in month M of year Y:
  → Use the CME 30-Day Fed Funds futures contract for month M+1
     (the post-meeting month captures the new rate for the full month)
Contract symbol format:  CBOT:ZQ{month_code}{year}
Month codes: Jan=F  Feb=G  Mar=H  Apr=J  May=K  Jun=M
             Jul=N  Aug=Q  Sep=U  Oct=V  Nov=X  Dec=Z
Example:  FOMC on 17 Jun 2026 (month 6)
          Post-meeting month = 7 (Jul) → month code = N
          Contract = CBOT:ZQN2026
Rationale: The 30-Day Fed Funds futures for month M+1 settle at the
average effective federal funds rate for that month.  Since the FOMC
decision takes effect immediately after the meeting, the M+1 contract
captures the new rate for its full settlement month.</t>
        </is>
      </c>
    </row>
    <row r="6" ht="30" customHeight="1">
      <c r="A6" s="6" t="inlineStr">
        <is>
          <t>FOMC Meeting Date</t>
        </is>
      </c>
      <c r="B6" s="6" t="inlineStr">
        <is>
          <t>Meeting Month (M)</t>
        </is>
      </c>
      <c r="C6" s="6" t="inlineStr">
        <is>
          <t>Post-Meeting Month (M+1)</t>
        </is>
      </c>
      <c r="D6" s="6" t="inlineStr">
        <is>
          <t>Month Code</t>
        </is>
      </c>
      <c r="E6" s="6" t="inlineStr">
        <is>
          <t>Contract Year</t>
        </is>
      </c>
      <c r="F6" s="6" t="inlineStr">
        <is>
          <t>TradingView Symbol</t>
        </is>
      </c>
      <c r="G6" s="6" t="inlineStr">
        <is>
          <t>Yahoo Finance Ticker</t>
        </is>
      </c>
      <c r="H6" s="6" t="inlineStr">
        <is>
          <t>Price Available?</t>
        </is>
      </c>
    </row>
    <row r="7">
      <c r="A7" s="8" t="inlineStr">
        <is>
          <t>29 Apr 2026</t>
        </is>
      </c>
      <c r="B7" s="7" t="inlineStr">
        <is>
          <t>4 (Apr)</t>
        </is>
      </c>
      <c r="C7" s="7" t="inlineStr">
        <is>
          <t>5 (May)</t>
        </is>
      </c>
      <c r="D7" s="27" t="inlineStr">
        <is>
          <t>K</t>
        </is>
      </c>
      <c r="E7" s="7" t="n">
        <v>2026</v>
      </c>
      <c r="F7" s="28" t="inlineStr">
        <is>
          <t>CBOT:ZQK2026</t>
        </is>
      </c>
      <c r="G7" s="10" t="inlineStr">
        <is>
          <t>ZQK26.CBT</t>
        </is>
      </c>
      <c r="H7" s="29" t="inlineStr">
        <is>
          <t>✓ Received</t>
        </is>
      </c>
    </row>
    <row r="8">
      <c r="A8" s="13" t="inlineStr">
        <is>
          <t>17 Jun 2026</t>
        </is>
      </c>
      <c r="B8" s="12" t="inlineStr">
        <is>
          <t>6 (Jun)</t>
        </is>
      </c>
      <c r="C8" s="12" t="inlineStr">
        <is>
          <t>7 (Jul)</t>
        </is>
      </c>
      <c r="D8" s="30" t="inlineStr">
        <is>
          <t>N</t>
        </is>
      </c>
      <c r="E8" s="12" t="n">
        <v>2026</v>
      </c>
      <c r="F8" s="28" t="inlineStr">
        <is>
          <t>CBOT:ZQN2026</t>
        </is>
      </c>
      <c r="G8" s="15" t="inlineStr">
        <is>
          <t>ZQN26.CBT</t>
        </is>
      </c>
      <c r="H8" s="29" t="inlineStr">
        <is>
          <t>✓ Received</t>
        </is>
      </c>
    </row>
    <row r="9">
      <c r="A9" s="8" t="inlineStr">
        <is>
          <t>29 Jul 2026</t>
        </is>
      </c>
      <c r="B9" s="7" t="inlineStr">
        <is>
          <t>7 (Jul)</t>
        </is>
      </c>
      <c r="C9" s="7" t="inlineStr">
        <is>
          <t>8 (Aug)</t>
        </is>
      </c>
      <c r="D9" s="27" t="inlineStr">
        <is>
          <t>Q</t>
        </is>
      </c>
      <c r="E9" s="7" t="n">
        <v>2026</v>
      </c>
      <c r="F9" s="28" t="inlineStr">
        <is>
          <t>CBOT:ZQQ2026</t>
        </is>
      </c>
      <c r="G9" s="10" t="inlineStr">
        <is>
          <t>ZQQ26.CBT</t>
        </is>
      </c>
      <c r="H9" s="29" t="inlineStr">
        <is>
          <t>✓ Received</t>
        </is>
      </c>
    </row>
    <row r="10">
      <c r="A10" s="13" t="inlineStr">
        <is>
          <t>16 Sep 2026</t>
        </is>
      </c>
      <c r="B10" s="12" t="inlineStr">
        <is>
          <t>9 (Sep)</t>
        </is>
      </c>
      <c r="C10" s="12" t="inlineStr">
        <is>
          <t>10 (Oct)</t>
        </is>
      </c>
      <c r="D10" s="30" t="inlineStr">
        <is>
          <t>V</t>
        </is>
      </c>
      <c r="E10" s="12" t="n">
        <v>2026</v>
      </c>
      <c r="F10" s="28" t="inlineStr">
        <is>
          <t>CBOT:ZQV2026</t>
        </is>
      </c>
      <c r="G10" s="15" t="inlineStr">
        <is>
          <t>ZQV26.CBT</t>
        </is>
      </c>
      <c r="H10" s="29" t="inlineStr">
        <is>
          <t>✓ Received</t>
        </is>
      </c>
    </row>
    <row r="11">
      <c r="A11" s="8" t="inlineStr">
        <is>
          <t>28 Oct 2026</t>
        </is>
      </c>
      <c r="B11" s="7" t="inlineStr">
        <is>
          <t>10 (Oct)</t>
        </is>
      </c>
      <c r="C11" s="7" t="inlineStr">
        <is>
          <t>11 (Nov)</t>
        </is>
      </c>
      <c r="D11" s="27" t="inlineStr">
        <is>
          <t>X</t>
        </is>
      </c>
      <c r="E11" s="7" t="n">
        <v>2026</v>
      </c>
      <c r="F11" s="28" t="inlineStr">
        <is>
          <t>CBOT:ZQX2026</t>
        </is>
      </c>
      <c r="G11" s="10" t="inlineStr">
        <is>
          <t>ZQX26.CBT</t>
        </is>
      </c>
      <c r="H11" s="29" t="inlineStr">
        <is>
          <t>✓ Received</t>
        </is>
      </c>
    </row>
    <row r="12">
      <c r="A12" s="13" t="inlineStr">
        <is>
          <t>09 Dec 2026</t>
        </is>
      </c>
      <c r="B12" s="12" t="inlineStr">
        <is>
          <t>12 (Dec)</t>
        </is>
      </c>
      <c r="C12" s="12" t="inlineStr">
        <is>
          <t>1 (Jan)</t>
        </is>
      </c>
      <c r="D12" s="30" t="inlineStr">
        <is>
          <t>F</t>
        </is>
      </c>
      <c r="E12" s="12" t="n">
        <v>2027</v>
      </c>
      <c r="F12" s="28" t="inlineStr">
        <is>
          <t>CBOT:ZQF2027</t>
        </is>
      </c>
      <c r="G12" s="15" t="inlineStr">
        <is>
          <t>ZQF27.CBT</t>
        </is>
      </c>
      <c r="H12" s="29" t="inlineStr">
        <is>
          <t>✓ Received</t>
        </is>
      </c>
    </row>
    <row r="13">
      <c r="A13" s="8" t="inlineStr">
        <is>
          <t>27 Jan 2027</t>
        </is>
      </c>
      <c r="B13" s="7" t="inlineStr">
        <is>
          <t>1 (Jan)</t>
        </is>
      </c>
      <c r="C13" s="7" t="inlineStr">
        <is>
          <t>2 (Feb)</t>
        </is>
      </c>
      <c r="D13" s="27" t="inlineStr">
        <is>
          <t>G</t>
        </is>
      </c>
      <c r="E13" s="7" t="n">
        <v>2027</v>
      </c>
      <c r="F13" s="28" t="inlineStr">
        <is>
          <t>CBOT:ZQG2027</t>
        </is>
      </c>
      <c r="G13" s="10" t="inlineStr">
        <is>
          <t>ZQG27.CBT</t>
        </is>
      </c>
      <c r="H13" s="29" t="inlineStr">
        <is>
          <t>✓ Received</t>
        </is>
      </c>
    </row>
    <row r="14">
      <c r="A14" s="13" t="inlineStr">
        <is>
          <t>17 Mar 2027</t>
        </is>
      </c>
      <c r="B14" s="12" t="inlineStr">
        <is>
          <t>3 (Mar)</t>
        </is>
      </c>
      <c r="C14" s="12" t="inlineStr">
        <is>
          <t>4 (Apr)</t>
        </is>
      </c>
      <c r="D14" s="30" t="inlineStr">
        <is>
          <t>J</t>
        </is>
      </c>
      <c r="E14" s="12" t="n">
        <v>2027</v>
      </c>
      <c r="F14" s="28" t="inlineStr">
        <is>
          <t>CBOT:ZQJ2027</t>
        </is>
      </c>
      <c r="G14" s="15" t="inlineStr">
        <is>
          <t>ZQJ27.CBT</t>
        </is>
      </c>
      <c r="H14" s="29" t="inlineStr">
        <is>
          <t>✓ Received</t>
        </is>
      </c>
    </row>
  </sheetData>
  <mergeCells count="2">
    <mergeCell ref="A4:H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2" customHeight="1">
      <c r="A1" s="1" t="inlineStr">
        <is>
          <t>Step-by-Step Calculation — US Fed Funds Implied Rates</t>
        </is>
      </c>
    </row>
    <row r="3">
      <c r="A3" s="4" t="inlineStr">
        <is>
          <t>BASE RATE INPUT</t>
        </is>
      </c>
    </row>
    <row r="4" ht="30" customHeight="1">
      <c r="A4" s="6" t="inlineStr">
        <is>
          <t>Source</t>
        </is>
      </c>
      <c r="B4" s="6" t="inlineStr">
        <is>
          <t>Series</t>
        </is>
      </c>
      <c r="C4" s="6" t="inlineStr">
        <is>
          <t>Latest Date</t>
        </is>
      </c>
      <c r="D4" s="6" t="inlineStr">
        <is>
          <t>EFFR Value (%)</t>
        </is>
      </c>
    </row>
    <row r="5" ht="18" customHeight="1">
      <c r="A5" s="31" t="inlineStr">
        <is>
          <t>FRED API</t>
        </is>
      </c>
      <c r="B5" s="19" t="inlineStr">
        <is>
          <t>DFF — Effective Federal Funds Rate</t>
        </is>
      </c>
      <c r="C5" s="19" t="inlineStr">
        <is>
          <t>2026-04-05</t>
        </is>
      </c>
      <c r="D5" s="32" t="n">
        <v>3.64</v>
      </c>
    </row>
    <row r="7">
      <c r="A7" s="4" t="inlineStr">
        <is>
          <t>CALCULATION TABLE</t>
        </is>
      </c>
    </row>
    <row r="8" ht="42" customHeight="1">
      <c r="A8" s="33" t="inlineStr">
        <is>
          <t>FOMC Meeting</t>
        </is>
      </c>
      <c r="B8" s="33" t="inlineStr">
        <is>
          <t>ZQ Contract</t>
        </is>
      </c>
      <c r="C8" s="33" t="inlineStr">
        <is>
          <t>TradingView
Close Price</t>
        </is>
      </c>
      <c r="D8" s="33" t="inlineStr">
        <is>
          <t>Step 1
Implied Rate (%)
= 100 − Price</t>
        </is>
      </c>
      <c r="E8" s="33" t="inlineStr">
        <is>
          <t>Step 2
Base Rate
(EFFR from FRED)</t>
        </is>
      </c>
      <c r="F8" s="33" t="inlineStr">
        <is>
          <t>Step 3
Change (%)
= Implied − Base</t>
        </is>
      </c>
      <c r="G8" s="33" t="inlineStr">
        <is>
          <t>Step 4
± bps
= Change × 100</t>
        </is>
      </c>
      <c r="H8" s="33" t="inlineStr">
        <is>
          <t>Direction</t>
        </is>
      </c>
    </row>
    <row r="9">
      <c r="A9" s="8" t="inlineStr">
        <is>
          <t>29 Apr 2026</t>
        </is>
      </c>
      <c r="B9" s="34" t="inlineStr">
        <is>
          <t>CBOT:ZQK2026</t>
        </is>
      </c>
      <c r="C9" s="24" t="n">
        <v>96.355</v>
      </c>
      <c r="D9" s="35">
        <f>100-C9</f>
        <v/>
      </c>
      <c r="E9" s="36">
        <f>$D$5</f>
        <v/>
      </c>
      <c r="F9" s="37">
        <f>D9-E9</f>
        <v/>
      </c>
      <c r="G9" s="38">
        <f>F9*100</f>
        <v/>
      </c>
      <c r="H9" s="39" t="inlineStr">
        <is>
          <t>━ Hold</t>
        </is>
      </c>
    </row>
    <row r="10">
      <c r="A10" s="13" t="inlineStr">
        <is>
          <t>17 Jun 2026</t>
        </is>
      </c>
      <c r="B10" s="40" t="inlineStr">
        <is>
          <t>CBOT:ZQN2026</t>
        </is>
      </c>
      <c r="C10" s="22" t="n">
        <v>96.36499999999999</v>
      </c>
      <c r="D10" s="35">
        <f>100-C10</f>
        <v/>
      </c>
      <c r="E10" s="36">
        <f>$D$5</f>
        <v/>
      </c>
      <c r="F10" s="41">
        <f>D10-E10</f>
        <v/>
      </c>
      <c r="G10" s="42">
        <f>F10*100</f>
        <v/>
      </c>
      <c r="H10" s="43" t="inlineStr">
        <is>
          <t>━ Hold</t>
        </is>
      </c>
    </row>
    <row r="11">
      <c r="A11" s="8" t="inlineStr">
        <is>
          <t>29 Jul 2026</t>
        </is>
      </c>
      <c r="B11" s="34" t="inlineStr">
        <is>
          <t>CBOT:ZQQ2026</t>
        </is>
      </c>
      <c r="C11" s="24" t="n">
        <v>96.36499999999999</v>
      </c>
      <c r="D11" s="35">
        <f>100-C11</f>
        <v/>
      </c>
      <c r="E11" s="36">
        <f>$D$5</f>
        <v/>
      </c>
      <c r="F11" s="41">
        <f>D11-E11</f>
        <v/>
      </c>
      <c r="G11" s="42">
        <f>F11*100</f>
        <v/>
      </c>
      <c r="H11" s="39" t="inlineStr">
        <is>
          <t>━ Hold</t>
        </is>
      </c>
    </row>
    <row r="12">
      <c r="A12" s="13" t="inlineStr">
        <is>
          <t>16 Sep 2026</t>
        </is>
      </c>
      <c r="B12" s="40" t="inlineStr">
        <is>
          <t>CBOT:ZQV2026</t>
        </is>
      </c>
      <c r="C12" s="22" t="n">
        <v>96.355</v>
      </c>
      <c r="D12" s="35">
        <f>100-C12</f>
        <v/>
      </c>
      <c r="E12" s="36">
        <f>$D$5</f>
        <v/>
      </c>
      <c r="F12" s="37">
        <f>D12-E12</f>
        <v/>
      </c>
      <c r="G12" s="38">
        <f>F12*100</f>
        <v/>
      </c>
      <c r="H12" s="43" t="inlineStr">
        <is>
          <t>━ Hold</t>
        </is>
      </c>
    </row>
    <row r="13">
      <c r="A13" s="8" t="inlineStr">
        <is>
          <t>28 Oct 2026</t>
        </is>
      </c>
      <c r="B13" s="34" t="inlineStr">
        <is>
          <t>CBOT:ZQX2026</t>
        </is>
      </c>
      <c r="C13" s="24" t="n">
        <v>96.345</v>
      </c>
      <c r="D13" s="35">
        <f>100-C13</f>
        <v/>
      </c>
      <c r="E13" s="36">
        <f>$D$5</f>
        <v/>
      </c>
      <c r="F13" s="37">
        <f>D13-E13</f>
        <v/>
      </c>
      <c r="G13" s="38">
        <f>F13*100</f>
        <v/>
      </c>
      <c r="H13" s="44" t="inlineStr">
        <is>
          <t>▲ Hike</t>
        </is>
      </c>
    </row>
    <row r="14">
      <c r="A14" s="13" t="inlineStr">
        <is>
          <t>09 Dec 2026</t>
        </is>
      </c>
      <c r="B14" s="40" t="inlineStr">
        <is>
          <t>CBOT:ZQF2027</t>
        </is>
      </c>
      <c r="C14" s="22" t="n">
        <v>96.37</v>
      </c>
      <c r="D14" s="35">
        <f>100-C14</f>
        <v/>
      </c>
      <c r="E14" s="36">
        <f>$D$5</f>
        <v/>
      </c>
      <c r="F14" s="41">
        <f>D14-E14</f>
        <v/>
      </c>
      <c r="G14" s="42">
        <f>F14*100</f>
        <v/>
      </c>
      <c r="H14" s="45" t="inlineStr">
        <is>
          <t>▼ Cut</t>
        </is>
      </c>
    </row>
    <row r="15">
      <c r="A15" s="8" t="inlineStr">
        <is>
          <t>27 Jan 2027</t>
        </is>
      </c>
      <c r="B15" s="34" t="inlineStr">
        <is>
          <t>CBOT:ZQG2027</t>
        </is>
      </c>
      <c r="C15" s="24" t="n">
        <v>96.375</v>
      </c>
      <c r="D15" s="35">
        <f>100-C15</f>
        <v/>
      </c>
      <c r="E15" s="36">
        <f>$D$5</f>
        <v/>
      </c>
      <c r="F15" s="41">
        <f>D15-E15</f>
        <v/>
      </c>
      <c r="G15" s="42">
        <f>F15*100</f>
        <v/>
      </c>
      <c r="H15" s="46" t="inlineStr">
        <is>
          <t>▼ Cut</t>
        </is>
      </c>
    </row>
    <row r="16">
      <c r="A16" s="13" t="inlineStr">
        <is>
          <t>17 Mar 2027</t>
        </is>
      </c>
      <c r="B16" s="40" t="inlineStr">
        <is>
          <t>CBOT:ZQJ2027</t>
        </is>
      </c>
      <c r="C16" s="22" t="n">
        <v>96.38</v>
      </c>
      <c r="D16" s="35">
        <f>100-C16</f>
        <v/>
      </c>
      <c r="E16" s="36">
        <f>$D$5</f>
        <v/>
      </c>
      <c r="F16" s="41">
        <f>D16-E16</f>
        <v/>
      </c>
      <c r="G16" s="42">
        <f>F16*100</f>
        <v/>
      </c>
      <c r="H16" s="45" t="inlineStr">
        <is>
          <t>▼ Cut</t>
        </is>
      </c>
    </row>
    <row r="18">
      <c r="A18" s="4" t="inlineStr">
        <is>
          <t>FORMULA REFERENCE</t>
        </is>
      </c>
    </row>
    <row r="19" ht="30" customHeight="1">
      <c r="A19" s="47" t="inlineStr">
        <is>
          <t>Formula</t>
        </is>
      </c>
      <c r="B19" s="47" t="inlineStr">
        <is>
          <t>Expression</t>
        </is>
      </c>
      <c r="C19" s="47" t="inlineStr">
        <is>
          <t>Explanation</t>
        </is>
      </c>
    </row>
    <row r="20">
      <c r="A20" s="48" t="inlineStr">
        <is>
          <t>Step 1 — Implied Rate</t>
        </is>
      </c>
      <c r="B20" s="49">
        <f> 100 − Futures Price</f>
        <v/>
      </c>
      <c r="C20" s="10" t="inlineStr">
        <is>
          <t>ZQ futures are quoted as 100 minus the expected average overnight rate. A price of 96.365 implies a rate of 3.635%.</t>
        </is>
      </c>
      <c r="D20" s="50" t="n"/>
      <c r="E20" s="50" t="n"/>
      <c r="F20" s="50" t="n"/>
      <c r="G20" s="50" t="n"/>
      <c r="H20" s="51" t="n"/>
    </row>
    <row r="21">
      <c r="A21" s="52" t="inlineStr">
        <is>
          <t>Step 2 — Base Rate</t>
        </is>
      </c>
      <c r="B21" s="49">
        <f> EFFR (latest FRED DFF)</f>
        <v/>
      </c>
      <c r="C21" s="15" t="inlineStr">
        <is>
          <t>The Effective Federal Funds Rate published daily by the New York Fed, sourced via FRED API. This is the current realised rate, matching Bloomberg WIRP.</t>
        </is>
      </c>
      <c r="D21" s="50" t="n"/>
      <c r="E21" s="50" t="n"/>
      <c r="F21" s="50" t="n"/>
      <c r="G21" s="50" t="n"/>
      <c r="H21" s="51" t="n"/>
    </row>
    <row r="22">
      <c r="A22" s="48" t="inlineStr">
        <is>
          <t>Step 3 — Change</t>
        </is>
      </c>
      <c r="B22" s="49">
        <f> Implied Rate − Base Rate</f>
        <v/>
      </c>
      <c r="C22" s="10" t="inlineStr">
        <is>
          <t>Positive = market pricing a hike; Negative = cut priced in.</t>
        </is>
      </c>
      <c r="D22" s="50" t="n"/>
      <c r="E22" s="50" t="n"/>
      <c r="F22" s="50" t="n"/>
      <c r="G22" s="50" t="n"/>
      <c r="H22" s="51" t="n"/>
    </row>
    <row r="23">
      <c r="A23" s="52" t="inlineStr">
        <is>
          <t>Step 4 — bps</t>
        </is>
      </c>
      <c r="B23" s="49">
        <f> Change × 100</f>
        <v/>
      </c>
      <c r="C23" s="15" t="inlineStr">
        <is>
          <t>Converts percentage-point change to basis points (1% = 100 bps). Granularity is ~0.5 bps — the minimum tick of ZQ futures (0.005 price increment).</t>
        </is>
      </c>
      <c r="D23" s="50" t="n"/>
      <c r="E23" s="50" t="n"/>
      <c r="F23" s="50" t="n"/>
      <c r="G23" s="50" t="n"/>
      <c r="H23" s="51" t="n"/>
    </row>
  </sheetData>
  <mergeCells count="5">
    <mergeCell ref="A1:H1"/>
    <mergeCell ref="C22:H22"/>
    <mergeCell ref="C23:H23"/>
    <mergeCell ref="C20:H20"/>
    <mergeCell ref="C21:H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5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1" t="inlineStr">
        <is>
          <t>Summary — US Fed Funds Implied Rates (WIRP Output)</t>
        </is>
      </c>
    </row>
    <row r="2">
      <c r="A2" s="2" t="inlineStr">
        <is>
          <t>Generated:</t>
        </is>
      </c>
      <c r="B2" s="3" t="inlineStr">
        <is>
          <t>2026-04-05 09:30:45 UTC</t>
        </is>
      </c>
    </row>
    <row r="3">
      <c r="A3" s="2" t="inlineStr">
        <is>
          <t>Base Rate (EFFR):</t>
        </is>
      </c>
      <c r="B3" s="3" t="inlineStr">
        <is>
          <t>3.6400%</t>
        </is>
      </c>
    </row>
    <row r="4">
      <c r="A4" s="2" t="inlineStr">
        <is>
          <t>Source:</t>
        </is>
      </c>
      <c r="B4" s="3" t="inlineStr">
        <is>
          <t>CME ZQ 30-Day Fed Funds Futures via TradingView Scanner API</t>
        </is>
      </c>
    </row>
    <row r="6" ht="30" customHeight="1">
      <c r="A6" s="6" t="inlineStr">
        <is>
          <t>#</t>
        </is>
      </c>
      <c r="B6" s="6" t="inlineStr">
        <is>
          <t>FOMC Meeting</t>
        </is>
      </c>
      <c r="C6" s="6" t="inlineStr">
        <is>
          <t>ZQ Contract</t>
        </is>
      </c>
      <c r="D6" s="6" t="inlineStr">
        <is>
          <t>Futures Price</t>
        </is>
      </c>
      <c r="E6" s="6" t="inlineStr">
        <is>
          <t>Implied Rate (%)</t>
        </is>
      </c>
      <c r="F6" s="6" t="inlineStr">
        <is>
          <t>Base Rate (%)</t>
        </is>
      </c>
      <c r="G6" s="6" t="inlineStr">
        <is>
          <t>± bps</t>
        </is>
      </c>
      <c r="H6" s="6" t="inlineStr">
        <is>
          <t>Direction</t>
        </is>
      </c>
    </row>
    <row r="7">
      <c r="A7" s="7" t="n">
        <v>1</v>
      </c>
      <c r="B7" s="8" t="inlineStr">
        <is>
          <t>29 Apr 2026</t>
        </is>
      </c>
      <c r="C7" s="53" t="inlineStr">
        <is>
          <t>CBOT:ZQK2026</t>
        </is>
      </c>
      <c r="D7" s="24" t="n">
        <v>96.355</v>
      </c>
      <c r="E7" s="54" t="n">
        <v>3.645</v>
      </c>
      <c r="F7" s="36" t="n">
        <v>3.64</v>
      </c>
      <c r="G7" s="38" t="n">
        <v>0.5</v>
      </c>
      <c r="H7" s="39" t="inlineStr">
        <is>
          <t>━ Hold</t>
        </is>
      </c>
    </row>
    <row r="8">
      <c r="A8" s="12" t="n">
        <v>2</v>
      </c>
      <c r="B8" s="13" t="inlineStr">
        <is>
          <t>17 Jun 2026</t>
        </is>
      </c>
      <c r="C8" s="53" t="inlineStr">
        <is>
          <t>CBOT:ZQN2026</t>
        </is>
      </c>
      <c r="D8" s="22" t="n">
        <v>96.36499999999999</v>
      </c>
      <c r="E8" s="54" t="n">
        <v>3.635</v>
      </c>
      <c r="F8" s="36" t="n">
        <v>3.64</v>
      </c>
      <c r="G8" s="42" t="n">
        <v>-0.5</v>
      </c>
      <c r="H8" s="43" t="inlineStr">
        <is>
          <t>━ Hold</t>
        </is>
      </c>
    </row>
    <row r="9">
      <c r="A9" s="7" t="n">
        <v>3</v>
      </c>
      <c r="B9" s="8" t="inlineStr">
        <is>
          <t>29 Jul 2026</t>
        </is>
      </c>
      <c r="C9" s="53" t="inlineStr">
        <is>
          <t>CBOT:ZQQ2026</t>
        </is>
      </c>
      <c r="D9" s="24" t="n">
        <v>96.36499999999999</v>
      </c>
      <c r="E9" s="54" t="n">
        <v>3.635</v>
      </c>
      <c r="F9" s="36" t="n">
        <v>3.64</v>
      </c>
      <c r="G9" s="42" t="n">
        <v>-0.5</v>
      </c>
      <c r="H9" s="39" t="inlineStr">
        <is>
          <t>━ Hold</t>
        </is>
      </c>
    </row>
    <row r="10">
      <c r="A10" s="12" t="n">
        <v>4</v>
      </c>
      <c r="B10" s="13" t="inlineStr">
        <is>
          <t>16 Sep 2026</t>
        </is>
      </c>
      <c r="C10" s="53" t="inlineStr">
        <is>
          <t>CBOT:ZQV2026</t>
        </is>
      </c>
      <c r="D10" s="22" t="n">
        <v>96.355</v>
      </c>
      <c r="E10" s="54" t="n">
        <v>3.645</v>
      </c>
      <c r="F10" s="36" t="n">
        <v>3.64</v>
      </c>
      <c r="G10" s="38" t="n">
        <v>0.5</v>
      </c>
      <c r="H10" s="43" t="inlineStr">
        <is>
          <t>━ Hold</t>
        </is>
      </c>
    </row>
    <row r="11">
      <c r="A11" s="7" t="n">
        <v>5</v>
      </c>
      <c r="B11" s="8" t="inlineStr">
        <is>
          <t>28 Oct 2026</t>
        </is>
      </c>
      <c r="C11" s="53" t="inlineStr">
        <is>
          <t>CBOT:ZQX2026</t>
        </is>
      </c>
      <c r="D11" s="24" t="n">
        <v>96.345</v>
      </c>
      <c r="E11" s="54" t="n">
        <v>3.655</v>
      </c>
      <c r="F11" s="36" t="n">
        <v>3.64</v>
      </c>
      <c r="G11" s="38" t="n">
        <v>1.5</v>
      </c>
      <c r="H11" s="44" t="inlineStr">
        <is>
          <t>▲ Hike</t>
        </is>
      </c>
    </row>
    <row r="12">
      <c r="A12" s="12" t="n">
        <v>6</v>
      </c>
      <c r="B12" s="13" t="inlineStr">
        <is>
          <t>09 Dec 2026</t>
        </is>
      </c>
      <c r="C12" s="53" t="inlineStr">
        <is>
          <t>CBOT:ZQF2027</t>
        </is>
      </c>
      <c r="D12" s="22" t="n">
        <v>96.37</v>
      </c>
      <c r="E12" s="54" t="n">
        <v>3.63</v>
      </c>
      <c r="F12" s="36" t="n">
        <v>3.64</v>
      </c>
      <c r="G12" s="42" t="n">
        <v>-1</v>
      </c>
      <c r="H12" s="45" t="inlineStr">
        <is>
          <t>▼ Cut</t>
        </is>
      </c>
    </row>
    <row r="13">
      <c r="A13" s="7" t="n">
        <v>7</v>
      </c>
      <c r="B13" s="8" t="inlineStr">
        <is>
          <t>27 Jan 2027</t>
        </is>
      </c>
      <c r="C13" s="53" t="inlineStr">
        <is>
          <t>CBOT:ZQG2027</t>
        </is>
      </c>
      <c r="D13" s="24" t="n">
        <v>96.375</v>
      </c>
      <c r="E13" s="54" t="n">
        <v>3.625</v>
      </c>
      <c r="F13" s="36" t="n">
        <v>3.64</v>
      </c>
      <c r="G13" s="42" t="n">
        <v>-1.5</v>
      </c>
      <c r="H13" s="46" t="inlineStr">
        <is>
          <t>▼ Cut</t>
        </is>
      </c>
    </row>
    <row r="14">
      <c r="A14" s="12" t="n">
        <v>8</v>
      </c>
      <c r="B14" s="13" t="inlineStr">
        <is>
          <t>17 Mar 2027</t>
        </is>
      </c>
      <c r="C14" s="53" t="inlineStr">
        <is>
          <t>CBOT:ZQJ2027</t>
        </is>
      </c>
      <c r="D14" s="22" t="n">
        <v>96.38</v>
      </c>
      <c r="E14" s="54" t="n">
        <v>3.62</v>
      </c>
      <c r="F14" s="36" t="n">
        <v>3.64</v>
      </c>
      <c r="G14" s="42" t="n">
        <v>-2</v>
      </c>
      <c r="H14" s="45" t="inlineStr">
        <is>
          <t>▼ Cut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2026-04-05T09:30:45Z</dcterms:created>
  <dcterms:modified xmlns:dcterms="http://purl.org/dc/terms/" xmlns:xsi="http://www.w3.org/2001/XMLSchema-instance" xsi:type="dcterms:W3CDTF">2026-04-05T09:30:45Z</dcterms:modified>
</cp:coreProperties>
</file>